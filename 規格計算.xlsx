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wxu\Desktop\newfolder\xuan_folder\plum\"/>
    </mc:Choice>
  </mc:AlternateContent>
  <xr:revisionPtr revIDLastSave="0" documentId="13_ncr:1_{DFCB0906-D325-454A-8BF7-7EF4A015B7F3}" xr6:coauthVersionLast="47" xr6:coauthVersionMax="47" xr10:uidLastSave="{00000000-0000-0000-0000-000000000000}"/>
  <bookViews>
    <workbookView xWindow="-108" yWindow="-108" windowWidth="23256" windowHeight="12456" activeTab="1" xr2:uid="{C962034F-368D-4A37-A150-BC03F9DD7AFF}"/>
  </bookViews>
  <sheets>
    <sheet name="純溫度計算" sheetId="1" r:id="rId1"/>
    <sheet name="溫濕度計算" sheetId="9" r:id="rId2"/>
    <sheet name="熱交換機" sheetId="2" r:id="rId3"/>
    <sheet name="壓縮機" sheetId="3" r:id="rId4"/>
    <sheet name="加熱器" sheetId="4" r:id="rId5"/>
    <sheet name="風機" sheetId="5" r:id="rId6"/>
    <sheet name="膨脹閥" sheetId="6" r:id="rId7"/>
    <sheet name="蒸發器" sheetId="7" r:id="rId8"/>
    <sheet name="冷凝器" sheetId="8" r:id="rId9"/>
  </sheets>
  <calcPr calcId="191029" iterate="1" iterateCount="100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1" i="9" l="1"/>
  <c r="F5" i="9"/>
  <c r="E5" i="9"/>
  <c r="B20" i="9"/>
  <c r="E3" i="9"/>
  <c r="B27" i="9"/>
  <c r="B28" i="9" s="1"/>
  <c r="F6" i="9" s="1"/>
  <c r="B19" i="1"/>
  <c r="B22" i="1" s="1"/>
  <c r="E3" i="1"/>
  <c r="B18" i="1"/>
  <c r="E6" i="9" l="1"/>
  <c r="B24" i="9"/>
  <c r="B21" i="1"/>
  <c r="B20" i="1"/>
  <c r="F3" i="1" s="1"/>
  <c r="E4" i="9" l="1"/>
  <c r="J3" i="1"/>
  <c r="G3" i="1"/>
  <c r="L3" i="1"/>
  <c r="K3" i="1"/>
  <c r="I3" i="1"/>
  <c r="H3" i="1"/>
  <c r="F3" i="9"/>
  <c r="G3" i="9"/>
  <c r="H3" i="9"/>
  <c r="I3" i="9"/>
  <c r="J3" i="9"/>
  <c r="K3" i="9"/>
  <c r="L3" i="9"/>
  <c r="M3" i="9"/>
  <c r="F4" i="9"/>
  <c r="G4" i="9"/>
  <c r="H4" i="9"/>
  <c r="I4" i="9"/>
  <c r="J4" i="9"/>
  <c r="K4" i="9"/>
  <c r="L4" i="9"/>
  <c r="M4" i="9"/>
  <c r="G5" i="9"/>
  <c r="H5" i="9"/>
  <c r="I5" i="9"/>
  <c r="J5" i="9"/>
  <c r="K5" i="9"/>
  <c r="L5" i="9"/>
  <c r="M5" i="9"/>
  <c r="G6" i="9"/>
  <c r="H6" i="9"/>
  <c r="I6" i="9"/>
  <c r="J6" i="9"/>
  <c r="K6" i="9"/>
  <c r="L6" i="9"/>
  <c r="M6" i="9"/>
  <c r="B11" i="9"/>
  <c r="B12" i="9"/>
  <c r="B22" i="9"/>
  <c r="B23" i="9"/>
  <c r="B31" i="9"/>
  <c r="B32" i="9"/>
  <c r="B33" i="9"/>
  <c r="B34" i="9"/>
</calcChain>
</file>

<file path=xl/sharedStrings.xml><?xml version="1.0" encoding="utf-8"?>
<sst xmlns="http://schemas.openxmlformats.org/spreadsheetml/2006/main" count="281" uniqueCount="187">
  <si>
    <t>型號</t>
    <phoneticPr fontId="1" type="noConversion"/>
  </si>
  <si>
    <t>壓縮機類型</t>
    <phoneticPr fontId="1" type="noConversion"/>
  </si>
  <si>
    <t>直流變頻轉子式壓縮機</t>
  </si>
  <si>
    <t>Panasonic 5KD240XCA21</t>
  </si>
  <si>
    <t>製冷量 (W)</t>
  </si>
  <si>
    <t>7295 W</t>
  </si>
  <si>
    <t>製冷量 (BTU/h)</t>
  </si>
  <si>
    <t>24839 BTU/h</t>
  </si>
  <si>
    <t>COP (W/W)</t>
  </si>
  <si>
    <t>EER (BTU/h·W)</t>
    <phoneticPr fontId="1" type="noConversion"/>
  </si>
  <si>
    <t>額定輸入功率</t>
  </si>
  <si>
    <t>2315 W（配合其額定製冷量 7295 W）</t>
  </si>
  <si>
    <t>溫度</t>
    <phoneticPr fontId="1" type="noConversion"/>
  </si>
  <si>
    <t>風量</t>
    <phoneticPr fontId="1" type="noConversion"/>
  </si>
  <si>
    <t>尺寸</t>
    <phoneticPr fontId="1" type="noConversion"/>
  </si>
  <si>
    <t>馬達</t>
    <phoneticPr fontId="1" type="noConversion"/>
  </si>
  <si>
    <t>轉速</t>
    <phoneticPr fontId="1" type="noConversion"/>
  </si>
  <si>
    <t>耗電</t>
    <phoneticPr fontId="1" type="noConversion"/>
  </si>
  <si>
    <t>4 排深</t>
  </si>
  <si>
    <t>3/8" 銅管</t>
  </si>
  <si>
    <t>管距 25 mm * 21.65 mm</t>
    <phoneticPr fontId="1" type="noConversion"/>
  </si>
  <si>
    <t>片距 2.5 mm</t>
  </si>
  <si>
    <t>冷媒 R410A</t>
    <phoneticPr fontId="1" type="noConversion"/>
  </si>
  <si>
    <t>親水鋁箔</t>
  </si>
  <si>
    <t>裸鋁箔</t>
  </si>
  <si>
    <t xml:space="preserve"> </t>
    <phoneticPr fontId="1" type="noConversion"/>
  </si>
  <si>
    <t>寬 600 mm * 高 400 mm</t>
    <phoneticPr fontId="1" type="noConversion"/>
  </si>
  <si>
    <t>外觀尺寸</t>
    <phoneticPr fontId="1" type="noConversion"/>
  </si>
  <si>
    <t>迎風面積</t>
    <phoneticPr fontId="1" type="noConversion"/>
  </si>
  <si>
    <t>0.24m^2</t>
    <phoneticPr fontId="1" type="noConversion"/>
  </si>
  <si>
    <t>片距 2.0 mm</t>
    <phoneticPr fontId="1" type="noConversion"/>
  </si>
  <si>
    <t>尺寸需嚴謹</t>
    <phoneticPr fontId="1" type="noConversion"/>
  </si>
  <si>
    <t>尺寸可偏大</t>
    <phoneticPr fontId="1" type="noConversion"/>
  </si>
  <si>
    <t>質昌風機</t>
    <phoneticPr fontId="1" type="noConversion"/>
  </si>
  <si>
    <t>型號</t>
  </si>
  <si>
    <t>尺寸 (mm)</t>
  </si>
  <si>
    <t>管數</t>
  </si>
  <si>
    <t>鰭片寬度 (mm)</t>
  </si>
  <si>
    <t>鰭片間距 (mm)</t>
  </si>
  <si>
    <t>MH</t>
  </si>
  <si>
    <t>26 x 90 x L</t>
  </si>
  <si>
    <t>1.2, 2.0, 2.6</t>
  </si>
  <si>
    <t>MSH</t>
  </si>
  <si>
    <t>26 x 65 x L</t>
  </si>
  <si>
    <t>1.68, 2.6</t>
  </si>
  <si>
    <t>SH</t>
  </si>
  <si>
    <t>TH</t>
  </si>
  <si>
    <t>26 x 45 x L</t>
  </si>
  <si>
    <t>OH</t>
  </si>
  <si>
    <t>26 x 30 x L</t>
  </si>
  <si>
    <t>SS</t>
  </si>
  <si>
    <t>22 x 22.3 x 15 ~ 361 x 267.6 x 15</t>
  </si>
  <si>
    <t>-</t>
  </si>
  <si>
    <t>STW</t>
  </si>
  <si>
    <t>10 x 10 x 10 ~ 999 x 337.5 x 25</t>
  </si>
  <si>
    <t>26 x 50 x L</t>
  </si>
  <si>
    <t>MTH (最新)</t>
  </si>
  <si>
    <t>2,3</t>
    <phoneticPr fontId="1" type="noConversion"/>
  </si>
  <si>
    <t>OH 型號</t>
    <phoneticPr fontId="1" type="noConversion"/>
  </si>
  <si>
    <t>30, 50, 70, 93, 106, 128, 150, 185, 202, 225, 268, 314, 358, 403, 446, 492</t>
  </si>
  <si>
    <t>其他含 L 之型號</t>
  </si>
  <si>
    <t>70, 93, 106, 128, 150, 185, 202, 225, 268, 314, 358, 403, 446, 492</t>
  </si>
  <si>
    <t>適用管徑</t>
  </si>
  <si>
    <t>馬達極數</t>
  </si>
  <si>
    <t>風量 (m³/h)</t>
  </si>
  <si>
    <t>最大靜壓 (mmAq)</t>
  </si>
  <si>
    <t>消耗功率 (W)</t>
  </si>
  <si>
    <t>DUC-4502</t>
  </si>
  <si>
    <t>Ø100 (4吋)</t>
  </si>
  <si>
    <t>2P</t>
  </si>
  <si>
    <t>DUC-4304</t>
  </si>
  <si>
    <t>4P</t>
  </si>
  <si>
    <t>DUC-6702</t>
  </si>
  <si>
    <t>Ø150 (6吋)</t>
  </si>
  <si>
    <t>DUC-6504</t>
  </si>
  <si>
    <t>DUC-81102</t>
  </si>
  <si>
    <t>Ø200 (8吋)</t>
  </si>
  <si>
    <t>DUC-81104</t>
  </si>
  <si>
    <t>TB-374</t>
  </si>
  <si>
    <t>Ø125 (5吋)</t>
  </si>
  <si>
    <t>TB-554</t>
  </si>
  <si>
    <t>TB-1102</t>
  </si>
  <si>
    <t>TB-1304</t>
  </si>
  <si>
    <t>TB-1802</t>
  </si>
  <si>
    <t>規格項目</t>
  </si>
  <si>
    <t>參數細節</t>
  </si>
  <si>
    <t>產品特點</t>
  </si>
  <si>
    <t>小巧輕便，適用於熱泵、空調及精密製冷設備</t>
  </si>
  <si>
    <t>適用冷媒</t>
  </si>
  <si>
    <t>R410A, R407C, R404A, R134a, R22, R32, R290 等 (相容於多數氫氟碳化物及可燃冷媒)</t>
  </si>
  <si>
    <t>馬達類型</t>
  </si>
  <si>
    <t>永磁單極步進馬達 (Unipolar stepper motor)</t>
  </si>
  <si>
    <t>額定電壓</t>
  </si>
  <si>
    <t>12 V DC (± 10%)</t>
  </si>
  <si>
    <t>最大工作壓力 (MWP)</t>
  </si>
  <si>
    <t>47 bar (680 psig)</t>
  </si>
  <si>
    <t>流體溫度範圍</t>
  </si>
  <si>
    <t>-30°C 至 +70°C</t>
  </si>
  <si>
    <t>環境溫度範圍</t>
  </si>
  <si>
    <t>-30°C 至 +60°C</t>
  </si>
  <si>
    <t>線圈電阻</t>
  </si>
  <si>
    <t>46 Ω ± 3 Ω (於 20°C 環境下)</t>
  </si>
  <si>
    <t>全開總步數</t>
  </si>
  <si>
    <t>480 步 (Steps)</t>
  </si>
  <si>
    <t>驅動速率</t>
  </si>
  <si>
    <t>30 pps (每秒步數)</t>
  </si>
  <si>
    <t>作動時間</t>
  </si>
  <si>
    <t>從全關到全開約 16 秒 (於 30 pps 速率下)</t>
  </si>
  <si>
    <t>雙向作動 (Bi-flow)</t>
  </si>
  <si>
    <t>支援，可滿足熱泵系統的反向循環需求</t>
  </si>
  <si>
    <t>連接形式</t>
  </si>
  <si>
    <t>銅管接頭，便於釺焊施工</t>
  </si>
  <si>
    <t>Danfoss ETS 6 電子膨脹閥</t>
  </si>
  <si>
    <t>型號 (Type)</t>
  </si>
  <si>
    <t>A [mm]</t>
  </si>
  <si>
    <t>D [mm]</t>
  </si>
  <si>
    <t>C [mm]</t>
  </si>
  <si>
    <t>F [mm]</t>
  </si>
  <si>
    <t>PWT 200</t>
  </si>
  <si>
    <t>—</t>
  </si>
  <si>
    <t>PWT 300</t>
  </si>
  <si>
    <t>PWT 390</t>
  </si>
  <si>
    <t>PWT 400</t>
  </si>
  <si>
    <t>PWT 500</t>
  </si>
  <si>
    <t>PWT 600</t>
  </si>
  <si>
    <t>PWT 700</t>
  </si>
  <si>
    <t>PWT 800</t>
  </si>
  <si>
    <t>PWT 1000</t>
  </si>
  <si>
    <t>PWT 1200</t>
  </si>
  <si>
    <t>PWT 1400</t>
  </si>
  <si>
    <t>PWT 1600</t>
  </si>
  <si>
    <t>GS 25</t>
  </si>
  <si>
    <t>GS 30</t>
  </si>
  <si>
    <t>GS 35</t>
  </si>
  <si>
    <t>GS 45</t>
  </si>
  <si>
    <t>GS 62</t>
  </si>
  <si>
    <t>效率</t>
  </si>
  <si>
    <t>≤60%</t>
  </si>
  <si>
    <t>≤65%</t>
  </si>
  <si>
    <t>≤70%</t>
  </si>
  <si>
    <t>型錄未列</t>
  </si>
  <si>
    <t>klingenburg heat-exchanger</t>
  </si>
  <si>
    <t>旁通因數</t>
  </si>
  <si>
    <t>0.2(假設)</t>
    <phoneticPr fontId="1" type="noConversion"/>
  </si>
  <si>
    <t>COP</t>
    <phoneticPr fontId="1" type="noConversion"/>
  </si>
  <si>
    <t>SHR</t>
    <phoneticPr fontId="1" type="noConversion"/>
  </si>
  <si>
    <r>
      <t>空氣密度 kg/m</t>
    </r>
    <r>
      <rPr>
        <vertAlign val="superscript"/>
        <sz val="12"/>
        <color theme="1"/>
        <rFont val="新細明體"/>
        <family val="1"/>
        <charset val="136"/>
        <scheme val="minor"/>
      </rPr>
      <t>3</t>
    </r>
    <phoneticPr fontId="1" type="noConversion"/>
  </si>
  <si>
    <t>空氣比熱 kJ/kg.K</t>
    <phoneticPr fontId="1" type="noConversion"/>
  </si>
  <si>
    <t>t0</t>
    <phoneticPr fontId="1" type="noConversion"/>
  </si>
  <si>
    <t>t1</t>
    <phoneticPr fontId="1" type="noConversion"/>
  </si>
  <si>
    <t>t2</t>
    <phoneticPr fontId="1" type="noConversion"/>
  </si>
  <si>
    <t>t3</t>
    <phoneticPr fontId="1" type="noConversion"/>
  </si>
  <si>
    <t>t4</t>
    <phoneticPr fontId="1" type="noConversion"/>
  </si>
  <si>
    <t>t5</t>
    <phoneticPr fontId="1" type="noConversion"/>
  </si>
  <si>
    <t>t6</t>
    <phoneticPr fontId="1" type="noConversion"/>
  </si>
  <si>
    <t>t7</t>
    <phoneticPr fontId="1" type="noConversion"/>
  </si>
  <si>
    <t>空氣熱容量率 K</t>
    <phoneticPr fontId="1" type="noConversion"/>
  </si>
  <si>
    <r>
      <t xml:space="preserve">空氣經冷排溫差 </t>
    </r>
    <r>
      <rPr>
        <sz val="12"/>
        <color theme="1"/>
        <rFont val="Calibri"/>
        <family val="2"/>
        <charset val="161"/>
      </rPr>
      <t>Δ</t>
    </r>
    <r>
      <rPr>
        <sz val="12"/>
        <color theme="1"/>
        <rFont val="新細明體"/>
        <family val="2"/>
        <charset val="136"/>
        <scheme val="minor"/>
      </rPr>
      <t>T</t>
    </r>
    <r>
      <rPr>
        <vertAlign val="subscript"/>
        <sz val="12"/>
        <color theme="1"/>
        <rFont val="新細明體"/>
        <family val="1"/>
        <charset val="136"/>
        <scheme val="minor"/>
      </rPr>
      <t>e</t>
    </r>
    <phoneticPr fontId="1" type="noConversion"/>
  </si>
  <si>
    <r>
      <t xml:space="preserve">空氣經熱排溫差 </t>
    </r>
    <r>
      <rPr>
        <sz val="12"/>
        <color theme="1"/>
        <rFont val="Calibri"/>
        <family val="2"/>
        <charset val="161"/>
      </rPr>
      <t>Δ</t>
    </r>
    <r>
      <rPr>
        <sz val="12"/>
        <color theme="1"/>
        <rFont val="新細明體"/>
        <family val="2"/>
        <charset val="136"/>
        <scheme val="minor"/>
      </rPr>
      <t>T</t>
    </r>
    <r>
      <rPr>
        <vertAlign val="subscript"/>
        <sz val="12"/>
        <color theme="1"/>
        <rFont val="新細明體"/>
        <family val="1"/>
        <charset val="136"/>
        <scheme val="minor"/>
      </rPr>
      <t>c</t>
    </r>
    <phoneticPr fontId="1" type="noConversion"/>
  </si>
  <si>
    <r>
      <t xml:space="preserve">空氣經加熱器溫差 </t>
    </r>
    <r>
      <rPr>
        <sz val="12"/>
        <color theme="1"/>
        <rFont val="Calibri"/>
        <family val="2"/>
        <charset val="161"/>
      </rPr>
      <t>Δ</t>
    </r>
    <r>
      <rPr>
        <sz val="12"/>
        <color theme="1"/>
        <rFont val="新細明體"/>
        <family val="2"/>
        <charset val="136"/>
        <scheme val="minor"/>
      </rPr>
      <t>T</t>
    </r>
    <r>
      <rPr>
        <vertAlign val="subscript"/>
        <sz val="12"/>
        <color theme="1"/>
        <rFont val="新細明體"/>
        <family val="1"/>
        <charset val="136"/>
        <scheme val="minor"/>
      </rPr>
      <t>h</t>
    </r>
    <phoneticPr fontId="1" type="noConversion"/>
  </si>
  <si>
    <t>風量 CMH</t>
    <phoneticPr fontId="1" type="noConversion"/>
  </si>
  <si>
    <t>全熱機轉換效率 e</t>
    <phoneticPr fontId="1" type="noConversion"/>
  </si>
  <si>
    <t>環境溫度 °C</t>
    <phoneticPr fontId="1" type="noConversion"/>
  </si>
  <si>
    <t>壓縮機輸入功 a (kW)</t>
    <phoneticPr fontId="1" type="noConversion"/>
  </si>
  <si>
    <t>加熱器輸入功 b (kW)</t>
    <phoneticPr fontId="1" type="noConversion"/>
  </si>
  <si>
    <t>風機輸入功 c (kW)</t>
    <phoneticPr fontId="1" type="noConversion"/>
  </si>
  <si>
    <t>總輸入功 a+b+c (kW)</t>
    <phoneticPr fontId="1" type="noConversion"/>
  </si>
  <si>
    <t>環境相對濕度 RH</t>
    <phoneticPr fontId="1" type="noConversion"/>
  </si>
  <si>
    <t>大氣壓力</t>
    <phoneticPr fontId="1" type="noConversion"/>
  </si>
  <si>
    <r>
      <t>環境相對濕度 RH</t>
    </r>
    <r>
      <rPr>
        <vertAlign val="subscript"/>
        <sz val="12"/>
        <color theme="1"/>
        <rFont val="新細明體"/>
        <family val="1"/>
        <charset val="136"/>
        <scheme val="minor"/>
      </rPr>
      <t>0</t>
    </r>
    <phoneticPr fontId="1" type="noConversion"/>
  </si>
  <si>
    <t>t8</t>
    <phoneticPr fontId="1" type="noConversion"/>
  </si>
  <si>
    <r>
      <t>ΔT</t>
    </r>
    <r>
      <rPr>
        <vertAlign val="subscript"/>
        <sz val="12"/>
        <color theme="1"/>
        <rFont val="新細明體"/>
        <family val="1"/>
        <charset val="136"/>
        <scheme val="minor"/>
      </rPr>
      <t>room</t>
    </r>
    <phoneticPr fontId="1" type="noConversion"/>
  </si>
  <si>
    <r>
      <t>【環境空氣含水量 W</t>
    </r>
    <r>
      <rPr>
        <vertAlign val="subscript"/>
        <sz val="12"/>
        <color theme="1"/>
        <rFont val="新細明體"/>
        <family val="1"/>
        <charset val="136"/>
        <scheme val="minor"/>
      </rPr>
      <t>0</t>
    </r>
    <r>
      <rPr>
        <sz val="12"/>
        <color theme="1"/>
        <rFont val="新細明體"/>
        <family val="2"/>
        <charset val="136"/>
        <scheme val="minor"/>
      </rPr>
      <t>】</t>
    </r>
    <phoneticPr fontId="1" type="noConversion"/>
  </si>
  <si>
    <r>
      <t>環境飽和水氣壓 P</t>
    </r>
    <r>
      <rPr>
        <vertAlign val="subscript"/>
        <sz val="12"/>
        <color theme="1"/>
        <rFont val="新細明體"/>
        <family val="1"/>
        <charset val="136"/>
        <scheme val="minor"/>
      </rPr>
      <t>sat0</t>
    </r>
    <phoneticPr fontId="1" type="noConversion"/>
  </si>
  <si>
    <r>
      <t>大氣壓力 P</t>
    </r>
    <r>
      <rPr>
        <vertAlign val="subscript"/>
        <sz val="12"/>
        <color theme="1"/>
        <rFont val="新細明體"/>
        <family val="1"/>
        <charset val="136"/>
        <scheme val="minor"/>
      </rPr>
      <t>atm</t>
    </r>
    <r>
      <rPr>
        <sz val="12"/>
        <color theme="1"/>
        <rFont val="新細明體"/>
        <family val="2"/>
        <charset val="136"/>
        <scheme val="minor"/>
      </rPr>
      <t xml:space="preserve"> (kPa)</t>
    </r>
    <phoneticPr fontId="1" type="noConversion"/>
  </si>
  <si>
    <r>
      <t>【冷排極限含水量 W</t>
    </r>
    <r>
      <rPr>
        <vertAlign val="subscript"/>
        <sz val="12"/>
        <color theme="1"/>
        <rFont val="新細明體"/>
        <family val="1"/>
        <charset val="136"/>
        <scheme val="minor"/>
      </rPr>
      <t>2</t>
    </r>
    <r>
      <rPr>
        <sz val="12"/>
        <color theme="1"/>
        <rFont val="新細明體"/>
        <family val="2"/>
        <charset val="136"/>
        <scheme val="minor"/>
      </rPr>
      <t>】</t>
    </r>
    <phoneticPr fontId="1" type="noConversion"/>
  </si>
  <si>
    <r>
      <t>冷排動態汽化潛熱 h</t>
    </r>
    <r>
      <rPr>
        <vertAlign val="subscript"/>
        <sz val="12"/>
        <color theme="1"/>
        <rFont val="新細明體"/>
        <family val="1"/>
        <charset val="136"/>
        <scheme val="minor"/>
      </rPr>
      <t>fg2</t>
    </r>
    <phoneticPr fontId="1" type="noConversion"/>
  </si>
  <si>
    <r>
      <t>冷排飽和水氣壓 P</t>
    </r>
    <r>
      <rPr>
        <vertAlign val="subscript"/>
        <sz val="12"/>
        <color theme="1"/>
        <rFont val="新細明體"/>
        <family val="1"/>
        <charset val="136"/>
        <scheme val="minor"/>
      </rPr>
      <t>sat2</t>
    </r>
    <phoneticPr fontId="1" type="noConversion"/>
  </si>
  <si>
    <r>
      <t>冷排實際出口濕度 W</t>
    </r>
    <r>
      <rPr>
        <vertAlign val="subscript"/>
        <sz val="12"/>
        <color theme="1"/>
        <rFont val="新細明體"/>
        <family val="1"/>
        <charset val="136"/>
        <scheme val="minor"/>
      </rPr>
      <t>2</t>
    </r>
    <phoneticPr fontId="1" type="noConversion"/>
  </si>
  <si>
    <r>
      <t>冷排飽和濕度 W</t>
    </r>
    <r>
      <rPr>
        <vertAlign val="subscript"/>
        <sz val="12"/>
        <color theme="1"/>
        <rFont val="新細明體"/>
        <family val="1"/>
        <charset val="136"/>
        <scheme val="minor"/>
      </rPr>
      <t>sat2</t>
    </r>
    <phoneticPr fontId="1" type="noConversion"/>
  </si>
  <si>
    <r>
      <t>環境絕對濕度 W</t>
    </r>
    <r>
      <rPr>
        <vertAlign val="subscript"/>
        <sz val="12"/>
        <color theme="1"/>
        <rFont val="新細明體"/>
        <family val="1"/>
        <charset val="136"/>
        <scheme val="minor"/>
      </rPr>
      <t>0</t>
    </r>
    <r>
      <rPr>
        <sz val="12"/>
        <color theme="1"/>
        <rFont val="新細明體"/>
        <family val="1"/>
        <charset val="136"/>
        <scheme val="minor"/>
      </rPr>
      <t xml:space="preserve"> (kg/kg)</t>
    </r>
    <phoneticPr fontId="1" type="noConversion"/>
  </si>
  <si>
    <t>空氣比熱 Cp (kJ/kg.K)</t>
    <phoneticPr fontId="1" type="noConversion"/>
  </si>
  <si>
    <r>
      <t xml:space="preserve">空氣密度 </t>
    </r>
    <r>
      <rPr>
        <sz val="12"/>
        <color theme="1"/>
        <rFont val="Calibri"/>
        <family val="2"/>
        <charset val="161"/>
      </rPr>
      <t>ρ</t>
    </r>
    <r>
      <rPr>
        <sz val="12"/>
        <color theme="1"/>
        <rFont val="新細明體"/>
        <family val="2"/>
        <charset val="136"/>
        <scheme val="minor"/>
      </rPr>
      <t xml:space="preserve"> (kg/m</t>
    </r>
    <r>
      <rPr>
        <vertAlign val="superscript"/>
        <sz val="12"/>
        <color theme="1"/>
        <rFont val="新細明體"/>
        <family val="1"/>
        <charset val="136"/>
        <scheme val="minor"/>
      </rPr>
      <t>3)</t>
    </r>
    <phoneticPr fontId="1" type="noConversion"/>
  </si>
  <si>
    <t>溫度 °C</t>
    <phoneticPr fontId="1" type="noConversion"/>
  </si>
  <si>
    <t>相對濕度 RH</t>
    <phoneticPr fontId="1" type="noConversion"/>
  </si>
  <si>
    <t>絕對溼度 kg/kg</t>
    <phoneticPr fontId="1" type="noConversion"/>
  </si>
  <si>
    <t>絕對溼度 g/kg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</si>
</sst>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000000"/>
  </numFmts>
  <fonts count="9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vertAlign val="superscript"/>
      <sz val="12"/>
      <color theme="1"/>
      <name val="新細明體"/>
      <family val="1"/>
      <charset val="136"/>
      <scheme val="minor"/>
    </font>
    <font>
      <sz val="12"/>
      <color theme="1"/>
      <name val="Calibri"/>
      <family val="2"/>
      <charset val="161"/>
    </font>
    <font>
      <vertAlign val="subscript"/>
      <sz val="12"/>
      <color theme="1"/>
      <name val="新細明體"/>
      <family val="1"/>
      <charset val="136"/>
      <scheme val="minor"/>
    </font>
    <font>
      <sz val="12"/>
      <color theme="2" tint="-9.9978637043366805E-2"/>
      <name val="新細明體"/>
      <family val="2"/>
      <charset val="136"/>
      <scheme val="minor"/>
    </font>
    <font>
      <sz val="12"/>
      <color theme="2" tint="-9.9978637043366805E-2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5" xfId="0" applyFill="1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3" borderId="3" xfId="0" applyFill="1" applyBorder="1">
      <alignment vertical="center"/>
    </xf>
    <xf numFmtId="0" fontId="0" fillId="3" borderId="8" xfId="0" applyFill="1" applyBorder="1">
      <alignment vertical="center"/>
    </xf>
    <xf numFmtId="0" fontId="0" fillId="0" borderId="0" xfId="0" applyBorder="1">
      <alignment vertical="center"/>
    </xf>
    <xf numFmtId="0" fontId="0" fillId="3" borderId="6" xfId="0" applyFill="1" applyBorder="1">
      <alignment vertical="center"/>
    </xf>
    <xf numFmtId="0" fontId="0" fillId="3" borderId="5" xfId="0" applyFill="1" applyBorder="1">
      <alignment vertical="center"/>
    </xf>
    <xf numFmtId="0" fontId="0" fillId="0" borderId="0" xfId="0" applyFill="1" applyBorder="1">
      <alignment vertical="center"/>
    </xf>
    <xf numFmtId="0" fontId="2" fillId="0" borderId="1" xfId="0" applyFont="1" applyBorder="1">
      <alignment vertical="center"/>
    </xf>
    <xf numFmtId="0" fontId="2" fillId="3" borderId="3" xfId="0" applyFont="1" applyFill="1" applyBorder="1">
      <alignment vertical="center"/>
    </xf>
    <xf numFmtId="0" fontId="2" fillId="0" borderId="7" xfId="0" applyFont="1" applyBorder="1">
      <alignment vertical="center"/>
    </xf>
    <xf numFmtId="0" fontId="2" fillId="3" borderId="8" xfId="0" applyFont="1" applyFill="1" applyBorder="1">
      <alignment vertical="center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>
      <alignment vertical="center"/>
    </xf>
    <xf numFmtId="176" fontId="0" fillId="0" borderId="0" xfId="0" applyNumberFormat="1" applyFill="1" applyBorder="1">
      <alignment vertical="center"/>
    </xf>
    <xf numFmtId="176" fontId="0" fillId="0" borderId="0" xfId="0" applyNumberFormat="1" applyBorder="1">
      <alignment vertical="center"/>
    </xf>
    <xf numFmtId="176" fontId="0" fillId="3" borderId="0" xfId="0" applyNumberFormat="1" applyFill="1" applyBorder="1">
      <alignment vertical="center"/>
    </xf>
    <xf numFmtId="176" fontId="0" fillId="0" borderId="8" xfId="0" applyNumberFormat="1" applyBorder="1">
      <alignment vertical="center"/>
    </xf>
    <xf numFmtId="176" fontId="0" fillId="0" borderId="0" xfId="0" applyNumberFormat="1">
      <alignment vertical="center"/>
    </xf>
    <xf numFmtId="0" fontId="6" fillId="0" borderId="0" xfId="0" applyFont="1" applyBorder="1">
      <alignment vertical="center"/>
    </xf>
    <xf numFmtId="0" fontId="8" fillId="0" borderId="4" xfId="0" applyFont="1" applyBorder="1">
      <alignment vertical="center"/>
    </xf>
    <xf numFmtId="176" fontId="8" fillId="0" borderId="5" xfId="0" applyNumberFormat="1" applyFont="1" applyBorder="1">
      <alignment vertical="center"/>
    </xf>
    <xf numFmtId="176" fontId="8" fillId="3" borderId="5" xfId="0" applyNumberFormat="1" applyFont="1" applyFill="1" applyBorder="1">
      <alignment vertical="center"/>
    </xf>
    <xf numFmtId="176" fontId="8" fillId="0" borderId="6" xfId="0" applyNumberFormat="1" applyFont="1" applyBorder="1">
      <alignment vertical="center"/>
    </xf>
    <xf numFmtId="177" fontId="7" fillId="0" borderId="0" xfId="0" applyNumberFormat="1" applyFont="1" applyBorder="1">
      <alignment vertical="center"/>
    </xf>
    <xf numFmtId="177" fontId="7" fillId="0" borderId="0" xfId="0" applyNumberFormat="1" applyFont="1" applyFill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</xdr:row>
      <xdr:rowOff>0</xdr:rowOff>
    </xdr:from>
    <xdr:to>
      <xdr:col>9</xdr:col>
      <xdr:colOff>876300</xdr:colOff>
      <xdr:row>20</xdr:row>
      <xdr:rowOff>214694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2795DB56-6674-4DE1-975B-0E64543A6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2280" y="822960"/>
          <a:ext cx="5920740" cy="35827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76200</xdr:colOff>
      <xdr:row>6</xdr:row>
      <xdr:rowOff>182881</xdr:rowOff>
    </xdr:from>
    <xdr:to>
      <xdr:col>10</xdr:col>
      <xdr:colOff>535552</xdr:colOff>
      <xdr:row>25</xdr:row>
      <xdr:rowOff>220981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F2133239-796D-4F52-97FA-5ECB19CE58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76600" y="1508761"/>
          <a:ext cx="7119232" cy="41605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CD0FD-6FAF-446C-A048-4DC4C50C1C52}">
  <dimension ref="A2:L22"/>
  <sheetViews>
    <sheetView workbookViewId="0">
      <selection activeCell="B9" sqref="B9:B12"/>
    </sheetView>
  </sheetViews>
  <sheetFormatPr defaultRowHeight="16.2"/>
  <cols>
    <col min="1" max="1" width="24.21875" bestFit="1" customWidth="1"/>
    <col min="2" max="6" width="9.77734375" customWidth="1"/>
    <col min="7" max="7" width="17.21875" bestFit="1" customWidth="1"/>
    <col min="8" max="8" width="9.77734375" customWidth="1"/>
    <col min="9" max="10" width="17.21875" bestFit="1" customWidth="1"/>
    <col min="11" max="13" width="9.77734375" customWidth="1"/>
    <col min="14" max="14" width="17.21875" bestFit="1" customWidth="1"/>
  </cols>
  <sheetData>
    <row r="2" spans="1:12">
      <c r="A2" s="8" t="s">
        <v>162</v>
      </c>
      <c r="B2" s="17">
        <v>30</v>
      </c>
      <c r="D2" s="8"/>
      <c r="E2" s="9" t="s">
        <v>148</v>
      </c>
      <c r="F2" s="9" t="s">
        <v>149</v>
      </c>
      <c r="G2" s="9" t="s">
        <v>150</v>
      </c>
      <c r="H2" s="9" t="s">
        <v>151</v>
      </c>
      <c r="I2" s="9" t="s">
        <v>152</v>
      </c>
      <c r="J2" s="9" t="s">
        <v>153</v>
      </c>
      <c r="K2" s="9" t="s">
        <v>154</v>
      </c>
      <c r="L2" s="10" t="s">
        <v>155</v>
      </c>
    </row>
    <row r="3" spans="1:12">
      <c r="A3" s="15" t="s">
        <v>167</v>
      </c>
      <c r="B3" s="18">
        <v>0</v>
      </c>
      <c r="D3" s="11" t="s">
        <v>12</v>
      </c>
      <c r="E3" s="14">
        <f>B2</f>
        <v>30</v>
      </c>
      <c r="F3" s="12">
        <f>E3-(B20*B9/(1-B9))</f>
        <v>16.277119889359501</v>
      </c>
      <c r="G3" s="12">
        <f>B2-(B20/(1-B9))</f>
        <v>7.1285331489324975</v>
      </c>
      <c r="H3" s="12">
        <f>B2-B20</f>
        <v>20.851413259573</v>
      </c>
      <c r="I3" s="12">
        <f>(B2-B20)+((B21-B22)/(1-B9))-B21-B22</f>
        <v>46.679056098193449</v>
      </c>
      <c r="J3" s="12">
        <f>(B2-B20)+((B21-B22)/(1-B9))-B22</f>
        <v>63.89748465727375</v>
      </c>
      <c r="K3" s="21">
        <f>(B2-B20)+((B21-B22)/(1-B9))</f>
        <v>63.89748465727375</v>
      </c>
      <c r="L3" s="13">
        <f>B2-B20+B21+B22</f>
        <v>38.069841818653302</v>
      </c>
    </row>
    <row r="4" spans="1:12">
      <c r="A4" s="15"/>
      <c r="B4" s="16"/>
    </row>
    <row r="5" spans="1:12">
      <c r="A5" s="15" t="s">
        <v>163</v>
      </c>
      <c r="B5" s="18">
        <v>2</v>
      </c>
    </row>
    <row r="6" spans="1:12">
      <c r="A6" s="15" t="s">
        <v>164</v>
      </c>
      <c r="B6" s="18">
        <v>0</v>
      </c>
    </row>
    <row r="7" spans="1:12">
      <c r="A7" s="15" t="s">
        <v>165</v>
      </c>
      <c r="B7" s="18">
        <v>0.54</v>
      </c>
    </row>
    <row r="8" spans="1:12">
      <c r="A8" s="15"/>
      <c r="B8" s="16"/>
    </row>
    <row r="9" spans="1:12">
      <c r="A9" s="15" t="s">
        <v>161</v>
      </c>
      <c r="B9" s="18">
        <v>0.6</v>
      </c>
    </row>
    <row r="10" spans="1:12">
      <c r="A10" s="15" t="s">
        <v>144</v>
      </c>
      <c r="B10" s="18">
        <v>3.15</v>
      </c>
    </row>
    <row r="11" spans="1:12">
      <c r="A11" s="15" t="s">
        <v>145</v>
      </c>
      <c r="B11" s="18">
        <v>0.7</v>
      </c>
    </row>
    <row r="12" spans="1:12">
      <c r="A12" s="11" t="s">
        <v>160</v>
      </c>
      <c r="B12" s="20">
        <v>1500</v>
      </c>
    </row>
    <row r="14" spans="1:12" ht="18.600000000000001">
      <c r="A14" t="s">
        <v>146</v>
      </c>
      <c r="B14">
        <v>1.1499999999999999</v>
      </c>
    </row>
    <row r="15" spans="1:12">
      <c r="A15" t="s">
        <v>147</v>
      </c>
      <c r="B15">
        <v>1.006</v>
      </c>
    </row>
    <row r="16" spans="1:12">
      <c r="A16" t="s">
        <v>168</v>
      </c>
    </row>
    <row r="18" spans="1:2">
      <c r="A18" s="15" t="s">
        <v>166</v>
      </c>
      <c r="B18" s="19">
        <f>SUM(B5:B7)</f>
        <v>2.54</v>
      </c>
    </row>
    <row r="19" spans="1:2">
      <c r="A19" t="s">
        <v>156</v>
      </c>
      <c r="B19">
        <f>B12/3600*B14*B15</f>
        <v>0.48204166666666665</v>
      </c>
    </row>
    <row r="20" spans="1:2" ht="19.8">
      <c r="A20" t="s">
        <v>157</v>
      </c>
      <c r="B20">
        <f>B5*B10*B11/B19</f>
        <v>9.1485867404270014</v>
      </c>
    </row>
    <row r="21" spans="1:2" ht="19.8">
      <c r="A21" t="s">
        <v>158</v>
      </c>
      <c r="B21">
        <f>B5*(B10+1)/B19</f>
        <v>17.218428559080301</v>
      </c>
    </row>
    <row r="22" spans="1:2" ht="19.8">
      <c r="A22" t="s">
        <v>159</v>
      </c>
      <c r="B22">
        <f>B6/B19</f>
        <v>0</v>
      </c>
    </row>
  </sheetData>
  <phoneticPr fontId="1" type="noConversion"/>
  <pageMargins left="0.7" right="0.7" top="0.75" bottom="0.75" header="0.3" footer="0.3"/>
  <pageSetup paperSize="9"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D92F1-9330-4DBB-A0A0-E67E8AFF2829}">
  <dimension ref="A2:N34"/>
  <sheetViews>
    <sheetView tabSelected="1" workbookViewId="0">
      <selection activeCell="B7" sqref="B7"/>
    </sheetView>
  </sheetViews>
  <sheetFormatPr defaultRowHeight="16.2"/>
  <cols>
    <col min="1" max="1" width="27.109375" bestFit="1" customWidth="1"/>
    <col min="2" max="3" width="9.77734375" customWidth="1"/>
    <col min="4" max="4" width="16.109375" bestFit="1" customWidth="1"/>
    <col min="5" max="6" width="9.77734375" customWidth="1"/>
    <col min="7" max="7" width="17.21875" bestFit="1" customWidth="1"/>
    <col min="8" max="8" width="9.77734375" customWidth="1"/>
    <col min="9" max="10" width="17.21875" bestFit="1" customWidth="1"/>
    <col min="11" max="14" width="9.77734375" customWidth="1"/>
    <col min="15" max="15" width="17.21875" bestFit="1" customWidth="1"/>
  </cols>
  <sheetData>
    <row r="2" spans="1:14">
      <c r="A2" s="23" t="s">
        <v>162</v>
      </c>
      <c r="B2" s="24">
        <v>30</v>
      </c>
      <c r="D2" s="8"/>
      <c r="E2" s="9" t="s">
        <v>148</v>
      </c>
      <c r="F2" s="9" t="s">
        <v>149</v>
      </c>
      <c r="G2" s="9" t="s">
        <v>150</v>
      </c>
      <c r="H2" s="9" t="s">
        <v>151</v>
      </c>
      <c r="I2" s="9" t="s">
        <v>152</v>
      </c>
      <c r="J2" s="9" t="s">
        <v>153</v>
      </c>
      <c r="K2" s="9" t="s">
        <v>154</v>
      </c>
      <c r="L2" s="9" t="s">
        <v>155</v>
      </c>
      <c r="M2" s="10" t="s">
        <v>170</v>
      </c>
    </row>
    <row r="3" spans="1:14" ht="19.8">
      <c r="A3" s="25" t="s">
        <v>169</v>
      </c>
      <c r="B3" s="26">
        <v>80</v>
      </c>
      <c r="D3" s="15" t="s">
        <v>183</v>
      </c>
      <c r="E3" s="29">
        <f>B2</f>
        <v>30</v>
      </c>
      <c r="F3" s="30">
        <f ca="1">E3 - (B22 * B10) / (1 - B10)</f>
        <v>11.193971588861402</v>
      </c>
      <c r="G3" s="30">
        <f ca="1">E3 - (B22 / (1 - B10))</f>
        <v>-1.3433806852309971</v>
      </c>
      <c r="H3" s="30">
        <f ca="1">E3 - B22</f>
        <v>17.462647725907601</v>
      </c>
      <c r="I3" s="30">
        <f ca="1">K3 - B24 - B23</f>
        <v>32.295267287944355</v>
      </c>
      <c r="J3" s="30">
        <f ca="1">K3 - B24</f>
        <v>49.811442277915397</v>
      </c>
      <c r="K3" s="31">
        <f ca="1">H3 + (B23 + B24 - B10 * B4) / (1 - B10)</f>
        <v>46.253085200835194</v>
      </c>
      <c r="L3" s="31">
        <f ca="1">K3 - B4</f>
        <v>36.253085200835194</v>
      </c>
      <c r="M3" s="32">
        <f ca="1">H3 + B23 + B24 - B4</f>
        <v>24.978822715878636</v>
      </c>
      <c r="N3" s="33"/>
    </row>
    <row r="4" spans="1:14" ht="19.8">
      <c r="A4" s="27" t="s">
        <v>171</v>
      </c>
      <c r="B4" s="26">
        <v>10</v>
      </c>
      <c r="D4" s="15" t="s">
        <v>184</v>
      </c>
      <c r="E4" s="29">
        <f>( (E6 *B17 / (E6 + 0.622)) / (0.61078 * EXP((17.27 * E3) / (E3 + 237.3))) ) * 100</f>
        <v>80</v>
      </c>
      <c r="F4" s="30">
        <f ca="1">( (F6 * B17 / (F6 + 0.622)) / (0.61078 * EXP((17.27 * F3) / (F3+ 237.3))) ) * 100</f>
        <v>255.27263374748088</v>
      </c>
      <c r="G4" s="30">
        <f ca="1">( (G6 * B17 / (G6 + 0.622)) / (0.61078 * EXP((17.27 * G3) / (G3 + 237.3))) ) * 100</f>
        <v>613.15771053754258</v>
      </c>
      <c r="H4" s="30">
        <f ca="1">( (H6 *B17 / (H6 + 0.622)) / (0.61078 * EXP((17.27 * H3) / (H3 + 237.3))) ) * 100</f>
        <v>170.12441440253872</v>
      </c>
      <c r="I4" s="30">
        <f ca="1">( (I6 * B17 / (I6 + 0.622)) / (0.61078 * EXP((17.27 * I3) / (I3 + 237.3))) ) * 100</f>
        <v>70.210375482402981</v>
      </c>
      <c r="J4" s="30">
        <f ca="1">( (J6 *B17 / (J6 + 0.622)) / (0.61078 * EXP((17.27 * J3) / (J3 + 237.3))) ) * 100</f>
        <v>27.773912422418917</v>
      </c>
      <c r="K4" s="31">
        <f ca="1">( (K6 *B17 / (K6 + 0.622)) / (0.61078 * EXP((17.27 * K3) / (K3+ 237.3))) ) * 100</f>
        <v>33.222307675635513</v>
      </c>
      <c r="L4" s="31">
        <f ca="1">( (L6 *B17 / (L6 + 0.622)) / (0.61078 * EXP((17.27 * L3) / (L3+ 237.3))) ) * 100</f>
        <v>66.842014139105046</v>
      </c>
      <c r="M4" s="32">
        <f ca="1">( (M6 * B17 / (M6 + 0.622)) / (0.61078 * EXP((17.27 * M3) / (M3 + 237.3))) ) * 100</f>
        <v>127.27031796922405</v>
      </c>
      <c r="N4" s="33"/>
    </row>
    <row r="5" spans="1:14">
      <c r="A5" s="25"/>
      <c r="B5" s="28"/>
      <c r="D5" s="35" t="s">
        <v>186</v>
      </c>
      <c r="E5" s="36">
        <f t="shared" ref="E5:M5" si="0">E6*1000</f>
        <v>21.558928110257011</v>
      </c>
      <c r="F5" s="36">
        <f t="shared" si="0"/>
        <v>21.558928110257011</v>
      </c>
      <c r="G5" s="36">
        <f t="shared" ca="1" si="0"/>
        <v>21.558928110257011</v>
      </c>
      <c r="H5" s="36">
        <f t="shared" ca="1" si="0"/>
        <v>21.558928110257011</v>
      </c>
      <c r="I5" s="36">
        <f t="shared" ca="1" si="0"/>
        <v>21.558928110257011</v>
      </c>
      <c r="J5" s="36">
        <f t="shared" ca="1" si="0"/>
        <v>21.558928110257011</v>
      </c>
      <c r="K5" s="37">
        <f t="shared" ca="1" si="0"/>
        <v>21.558928110257011</v>
      </c>
      <c r="L5" s="37">
        <f t="shared" ca="1" si="0"/>
        <v>25.739709472676015</v>
      </c>
      <c r="M5" s="38">
        <f t="shared" ca="1" si="0"/>
        <v>25.739709472676015</v>
      </c>
      <c r="N5" s="33"/>
    </row>
    <row r="6" spans="1:14">
      <c r="A6" s="25" t="s">
        <v>163</v>
      </c>
      <c r="B6" s="18">
        <v>2.4</v>
      </c>
      <c r="D6" s="34" t="s">
        <v>185</v>
      </c>
      <c r="E6" s="39">
        <f>B28</f>
        <v>2.155892811025701E-2</v>
      </c>
      <c r="F6" s="39">
        <f>B28</f>
        <v>2.155892811025701E-2</v>
      </c>
      <c r="G6" s="39">
        <f ca="1">B34</f>
        <v>2.1792199745801388E-3</v>
      </c>
      <c r="H6" s="39">
        <f ca="1">B34</f>
        <v>2.1792199745801388E-3</v>
      </c>
      <c r="I6" s="39">
        <f ca="1">B34</f>
        <v>2.1792199745801388E-3</v>
      </c>
      <c r="J6" s="39">
        <f ca="1">B34</f>
        <v>2.1792199745801388E-3</v>
      </c>
      <c r="K6" s="40">
        <f ca="1">B34</f>
        <v>2.1792199745801388E-3</v>
      </c>
      <c r="L6" s="40">
        <f ca="1">B34 + (B16 * B4) / (2501 - 2.38 * L3)</f>
        <v>6.3453385143242124E-3</v>
      </c>
      <c r="M6" s="39">
        <f ca="1">B34 + (B16 * B4) / (2501 - 2.38 * L3)</f>
        <v>6.3453385143242124E-3</v>
      </c>
    </row>
    <row r="7" spans="1:14">
      <c r="A7" s="25" t="s">
        <v>164</v>
      </c>
      <c r="B7" s="18">
        <v>0</v>
      </c>
    </row>
    <row r="8" spans="1:14">
      <c r="A8" s="25" t="s">
        <v>165</v>
      </c>
      <c r="B8" s="18">
        <v>0.54</v>
      </c>
    </row>
    <row r="9" spans="1:14">
      <c r="A9" s="15"/>
      <c r="B9" s="16"/>
    </row>
    <row r="10" spans="1:14">
      <c r="A10" s="15" t="s">
        <v>161</v>
      </c>
      <c r="B10" s="18">
        <v>0.6</v>
      </c>
    </row>
    <row r="11" spans="1:14">
      <c r="A11" s="15" t="s">
        <v>144</v>
      </c>
      <c r="B11" s="18">
        <f ca="1">MAX(1.5, 3.15 - 0.015 * ((J3 - G3) - 30))</f>
        <v>2.8326776555528039</v>
      </c>
    </row>
    <row r="12" spans="1:14">
      <c r="A12" s="15" t="s">
        <v>145</v>
      </c>
      <c r="B12" s="18">
        <f ca="1">IFERROR((B16 * (F3 - G3)) / (B16 * (F3 - G3) + B31 * (B28 - B34)), 1)</f>
        <v>0.20536060063468889</v>
      </c>
    </row>
    <row r="13" spans="1:14">
      <c r="A13" s="11" t="s">
        <v>160</v>
      </c>
      <c r="B13" s="20">
        <v>1500</v>
      </c>
    </row>
    <row r="15" spans="1:14" ht="18.600000000000001">
      <c r="A15" t="s">
        <v>182</v>
      </c>
      <c r="B15" s="22">
        <v>1.1499999999999999</v>
      </c>
    </row>
    <row r="16" spans="1:14">
      <c r="A16" t="s">
        <v>181</v>
      </c>
      <c r="B16" s="22">
        <v>1.006</v>
      </c>
    </row>
    <row r="17" spans="1:2" ht="19.8">
      <c r="A17" t="s">
        <v>174</v>
      </c>
      <c r="B17" s="19">
        <v>101.325</v>
      </c>
    </row>
    <row r="20" spans="1:2">
      <c r="A20" s="15" t="s">
        <v>166</v>
      </c>
      <c r="B20" s="19">
        <f>SUM(B6:B8)</f>
        <v>2.94</v>
      </c>
    </row>
    <row r="21" spans="1:2">
      <c r="A21" t="s">
        <v>156</v>
      </c>
      <c r="B21">
        <f>B13/3600*B15*B16</f>
        <v>0.48204166666666665</v>
      </c>
    </row>
    <row r="22" spans="1:2" ht="19.8">
      <c r="A22" t="s">
        <v>157</v>
      </c>
      <c r="B22">
        <f ca="1" xml:space="preserve"> (B6*B11 * B12) / B21</f>
        <v>2.8962826658769196</v>
      </c>
    </row>
    <row r="23" spans="1:2" ht="19.8">
      <c r="A23" t="s">
        <v>158</v>
      </c>
      <c r="B23">
        <f ca="1">( B6* (B11 + 1)) / B21</f>
        <v>19.082222574106794</v>
      </c>
    </row>
    <row r="24" spans="1:2" ht="19.8">
      <c r="A24" t="s">
        <v>159</v>
      </c>
      <c r="B24">
        <f xml:space="preserve"> B7 / B21</f>
        <v>0</v>
      </c>
    </row>
    <row r="26" spans="1:2" ht="19.8">
      <c r="A26" t="s">
        <v>172</v>
      </c>
    </row>
    <row r="27" spans="1:2" ht="19.8">
      <c r="A27" t="s">
        <v>173</v>
      </c>
      <c r="B27">
        <f>0.61078 * EXP((17.27 *E3) / (E3 + 237.3))</f>
        <v>4.2429261240812544</v>
      </c>
    </row>
    <row r="28" spans="1:2" ht="19.8">
      <c r="A28" s="2" t="s">
        <v>180</v>
      </c>
      <c r="B28">
        <f>0.622 * (B27 * (B3/100)) / (B17 - B27 * (B3/100))</f>
        <v>2.155892811025701E-2</v>
      </c>
    </row>
    <row r="30" spans="1:2" ht="19.8">
      <c r="A30" t="s">
        <v>175</v>
      </c>
    </row>
    <row r="31" spans="1:2" ht="19.8">
      <c r="A31" t="s">
        <v>176</v>
      </c>
      <c r="B31">
        <f ca="1">2501 - (2.38 * G3)</f>
        <v>2504.1972460308498</v>
      </c>
    </row>
    <row r="32" spans="1:2" ht="19.8">
      <c r="A32" t="s">
        <v>177</v>
      </c>
      <c r="B32">
        <f ca="1">0.61078 * EXP((17.27 * G3) / (G3 + 237.3))</f>
        <v>0.5535836606032819</v>
      </c>
    </row>
    <row r="33" spans="1:2" ht="19.8">
      <c r="A33" t="s">
        <v>179</v>
      </c>
      <c r="B33">
        <f ca="1">0.622 *B32 / (B17 - B32)</f>
        <v>3.4169316002818297E-3</v>
      </c>
    </row>
    <row r="34" spans="1:2" ht="19.8">
      <c r="A34" t="s">
        <v>178</v>
      </c>
      <c r="B34">
        <f ca="1">IF(B28 &gt; B33, B33,B28)</f>
        <v>3.4169316002818297E-3</v>
      </c>
    </row>
  </sheetData>
  <phoneticPr fontId="1" type="noConversion"/>
  <pageMargins left="0.7" right="0.7" top="0.75" bottom="0.75" header="0.3" footer="0.3"/>
  <pageSetup paperSize="9" orientation="portrait" r:id="rId1"/>
  <cellWatches>
    <cellWatch r="A2"/>
    <cellWatch r="B2"/>
    <cellWatch r="C2"/>
    <cellWatch r="D2"/>
    <cellWatch r="E2"/>
    <cellWatch r="F2"/>
    <cellWatch r="G2"/>
    <cellWatch r="H2"/>
    <cellWatch r="I2"/>
    <cellWatch r="J2"/>
    <cellWatch r="K2"/>
    <cellWatch r="L2"/>
    <cellWatch r="M2"/>
    <cellWatch r="A3"/>
    <cellWatch r="B3"/>
    <cellWatch r="C3"/>
    <cellWatch r="D3"/>
    <cellWatch r="E3"/>
    <cellWatch r="F3"/>
    <cellWatch r="G3"/>
    <cellWatch r="H3"/>
    <cellWatch r="I3"/>
    <cellWatch r="J3"/>
    <cellWatch r="K3"/>
    <cellWatch r="L3"/>
    <cellWatch r="M3"/>
    <cellWatch r="A4"/>
    <cellWatch r="B4"/>
    <cellWatch r="C4"/>
    <cellWatch r="D4"/>
    <cellWatch r="E4"/>
    <cellWatch r="F4"/>
    <cellWatch r="G4"/>
    <cellWatch r="H4"/>
    <cellWatch r="I4"/>
    <cellWatch r="J4"/>
    <cellWatch r="K4"/>
    <cellWatch r="L4"/>
    <cellWatch r="M4"/>
    <cellWatch r="A5"/>
    <cellWatch r="B5"/>
    <cellWatch r="C5"/>
    <cellWatch r="D5"/>
    <cellWatch r="E5"/>
    <cellWatch r="F5"/>
    <cellWatch r="G5"/>
    <cellWatch r="H5"/>
    <cellWatch r="I5"/>
    <cellWatch r="J5"/>
    <cellWatch r="K5"/>
    <cellWatch r="L5"/>
    <cellWatch r="M5"/>
    <cellWatch r="A6"/>
    <cellWatch r="B6"/>
    <cellWatch r="C6"/>
    <cellWatch r="D6"/>
    <cellWatch r="E6"/>
    <cellWatch r="F6"/>
    <cellWatch r="G6"/>
    <cellWatch r="H6"/>
    <cellWatch r="I6"/>
    <cellWatch r="J6"/>
    <cellWatch r="K6"/>
    <cellWatch r="L6"/>
    <cellWatch r="M6"/>
    <cellWatch r="A7"/>
    <cellWatch r="B7"/>
    <cellWatch r="C7"/>
    <cellWatch r="D7"/>
    <cellWatch r="E7"/>
    <cellWatch r="F7"/>
    <cellWatch r="G7"/>
    <cellWatch r="H7"/>
    <cellWatch r="I7"/>
    <cellWatch r="J7"/>
    <cellWatch r="K7"/>
    <cellWatch r="L7"/>
    <cellWatch r="M7"/>
    <cellWatch r="A8"/>
    <cellWatch r="B8"/>
    <cellWatch r="C8"/>
    <cellWatch r="D8"/>
    <cellWatch r="E8"/>
    <cellWatch r="F8"/>
    <cellWatch r="G8"/>
    <cellWatch r="H8"/>
    <cellWatch r="I8"/>
    <cellWatch r="J8"/>
    <cellWatch r="K8"/>
    <cellWatch r="L8"/>
    <cellWatch r="M8"/>
    <cellWatch r="A9"/>
    <cellWatch r="B9"/>
    <cellWatch r="C9"/>
    <cellWatch r="D9"/>
    <cellWatch r="E9"/>
    <cellWatch r="F9"/>
    <cellWatch r="G9"/>
    <cellWatch r="H9"/>
    <cellWatch r="I9"/>
    <cellWatch r="J9"/>
    <cellWatch r="K9"/>
    <cellWatch r="L9"/>
    <cellWatch r="M9"/>
    <cellWatch r="A10"/>
    <cellWatch r="B10"/>
    <cellWatch r="C10"/>
    <cellWatch r="D10"/>
    <cellWatch r="E10"/>
    <cellWatch r="F10"/>
    <cellWatch r="G10"/>
    <cellWatch r="H10"/>
    <cellWatch r="I10"/>
    <cellWatch r="J10"/>
    <cellWatch r="K10"/>
    <cellWatch r="L10"/>
    <cellWatch r="M10"/>
    <cellWatch r="A11"/>
    <cellWatch r="B11"/>
    <cellWatch r="C11"/>
    <cellWatch r="D11"/>
    <cellWatch r="E11"/>
    <cellWatch r="F11"/>
    <cellWatch r="G11"/>
    <cellWatch r="H11"/>
    <cellWatch r="I11"/>
    <cellWatch r="J11"/>
    <cellWatch r="K11"/>
    <cellWatch r="L11"/>
    <cellWatch r="M11"/>
    <cellWatch r="A12"/>
    <cellWatch r="B12"/>
    <cellWatch r="C12"/>
    <cellWatch r="D12"/>
    <cellWatch r="E12"/>
    <cellWatch r="F12"/>
    <cellWatch r="G12"/>
    <cellWatch r="H12"/>
    <cellWatch r="I12"/>
    <cellWatch r="J12"/>
    <cellWatch r="K12"/>
    <cellWatch r="L12"/>
    <cellWatch r="M12"/>
    <cellWatch r="A13"/>
    <cellWatch r="B13"/>
    <cellWatch r="C13"/>
    <cellWatch r="D13"/>
    <cellWatch r="E13"/>
    <cellWatch r="F13"/>
    <cellWatch r="G13"/>
    <cellWatch r="H13"/>
    <cellWatch r="I13"/>
    <cellWatch r="J13"/>
    <cellWatch r="K13"/>
    <cellWatch r="L13"/>
    <cellWatch r="M13"/>
  </cellWatche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D0AC8-D085-47A7-848D-7BD3663CB9CF}">
  <dimension ref="A1:F20"/>
  <sheetViews>
    <sheetView workbookViewId="0">
      <selection activeCell="P11" sqref="P11"/>
    </sheetView>
  </sheetViews>
  <sheetFormatPr defaultRowHeight="16.2"/>
  <cols>
    <col min="1" max="1" width="12.21875" bestFit="1" customWidth="1"/>
    <col min="2" max="2" width="8.21875" customWidth="1"/>
    <col min="3" max="3" width="10.44140625" bestFit="1" customWidth="1"/>
    <col min="4" max="5" width="16.77734375" bestFit="1" customWidth="1"/>
    <col min="6" max="6" width="12.88671875" bestFit="1" customWidth="1"/>
    <col min="7" max="11" width="8.21875" customWidth="1"/>
  </cols>
  <sheetData>
    <row r="1" spans="1:6">
      <c r="A1" t="s">
        <v>141</v>
      </c>
    </row>
    <row r="2" spans="1:6">
      <c r="A2" t="s">
        <v>113</v>
      </c>
      <c r="B2" t="s">
        <v>114</v>
      </c>
      <c r="C2" t="s">
        <v>115</v>
      </c>
      <c r="D2" t="s">
        <v>116</v>
      </c>
      <c r="E2" t="s">
        <v>117</v>
      </c>
      <c r="F2" t="s">
        <v>136</v>
      </c>
    </row>
    <row r="3" spans="1:6">
      <c r="A3" t="s">
        <v>118</v>
      </c>
      <c r="B3">
        <v>200</v>
      </c>
      <c r="C3">
        <v>265</v>
      </c>
      <c r="D3" t="s">
        <v>119</v>
      </c>
      <c r="E3" t="s">
        <v>119</v>
      </c>
      <c r="F3" t="s">
        <v>137</v>
      </c>
    </row>
    <row r="4" spans="1:6">
      <c r="A4" t="s">
        <v>120</v>
      </c>
      <c r="B4">
        <v>300</v>
      </c>
      <c r="C4">
        <v>405</v>
      </c>
      <c r="D4" t="s">
        <v>119</v>
      </c>
      <c r="E4" t="s">
        <v>119</v>
      </c>
      <c r="F4" t="s">
        <v>137</v>
      </c>
    </row>
    <row r="5" spans="1:6">
      <c r="A5" t="s">
        <v>121</v>
      </c>
      <c r="B5">
        <v>390</v>
      </c>
      <c r="C5">
        <v>531</v>
      </c>
      <c r="D5" t="s">
        <v>119</v>
      </c>
      <c r="E5" t="s">
        <v>119</v>
      </c>
      <c r="F5" t="s">
        <v>137</v>
      </c>
    </row>
    <row r="6" spans="1:6">
      <c r="A6" t="s">
        <v>122</v>
      </c>
      <c r="B6">
        <v>400</v>
      </c>
      <c r="C6">
        <v>536</v>
      </c>
      <c r="D6" t="s">
        <v>119</v>
      </c>
      <c r="E6" t="s">
        <v>119</v>
      </c>
      <c r="F6" t="s">
        <v>137</v>
      </c>
    </row>
    <row r="7" spans="1:6">
      <c r="A7" t="s">
        <v>123</v>
      </c>
      <c r="B7">
        <v>500</v>
      </c>
      <c r="C7">
        <v>677</v>
      </c>
      <c r="D7" t="s">
        <v>119</v>
      </c>
      <c r="E7" t="s">
        <v>119</v>
      </c>
      <c r="F7" t="s">
        <v>137</v>
      </c>
    </row>
    <row r="8" spans="1:6">
      <c r="A8" t="s">
        <v>124</v>
      </c>
      <c r="B8">
        <v>600</v>
      </c>
      <c r="C8">
        <v>819</v>
      </c>
      <c r="D8" t="s">
        <v>119</v>
      </c>
      <c r="E8" t="s">
        <v>119</v>
      </c>
      <c r="F8" t="s">
        <v>138</v>
      </c>
    </row>
    <row r="9" spans="1:6">
      <c r="A9" t="s">
        <v>125</v>
      </c>
      <c r="B9">
        <v>700</v>
      </c>
      <c r="C9">
        <v>960</v>
      </c>
      <c r="D9" t="s">
        <v>119</v>
      </c>
      <c r="E9" t="s">
        <v>119</v>
      </c>
      <c r="F9" t="s">
        <v>138</v>
      </c>
    </row>
    <row r="10" spans="1:6">
      <c r="A10" t="s">
        <v>126</v>
      </c>
      <c r="B10">
        <v>800</v>
      </c>
      <c r="C10">
        <v>1101</v>
      </c>
      <c r="D10" t="s">
        <v>119</v>
      </c>
      <c r="E10" t="s">
        <v>119</v>
      </c>
      <c r="F10" t="s">
        <v>139</v>
      </c>
    </row>
    <row r="11" spans="1:6">
      <c r="A11" t="s">
        <v>127</v>
      </c>
      <c r="B11">
        <v>1000</v>
      </c>
      <c r="C11">
        <v>1384</v>
      </c>
      <c r="D11" t="s">
        <v>119</v>
      </c>
      <c r="E11" t="s">
        <v>119</v>
      </c>
      <c r="F11" t="s">
        <v>139</v>
      </c>
    </row>
    <row r="12" spans="1:6">
      <c r="A12" t="s">
        <v>128</v>
      </c>
      <c r="B12">
        <v>1200</v>
      </c>
      <c r="C12">
        <v>1667</v>
      </c>
      <c r="D12" t="s">
        <v>119</v>
      </c>
      <c r="E12" t="s">
        <v>119</v>
      </c>
      <c r="F12" t="s">
        <v>139</v>
      </c>
    </row>
    <row r="13" spans="1:6">
      <c r="A13" t="s">
        <v>129</v>
      </c>
      <c r="B13">
        <v>1400</v>
      </c>
      <c r="C13">
        <v>1950</v>
      </c>
      <c r="D13" t="s">
        <v>119</v>
      </c>
      <c r="E13" t="s">
        <v>119</v>
      </c>
      <c r="F13" t="s">
        <v>140</v>
      </c>
    </row>
    <row r="14" spans="1:6">
      <c r="A14" t="s">
        <v>130</v>
      </c>
      <c r="B14">
        <v>1600</v>
      </c>
      <c r="C14">
        <v>2233</v>
      </c>
      <c r="D14" t="s">
        <v>119</v>
      </c>
      <c r="E14" t="s">
        <v>119</v>
      </c>
      <c r="F14" t="s">
        <v>140</v>
      </c>
    </row>
    <row r="15" spans="1:6">
      <c r="A15" t="s">
        <v>131</v>
      </c>
      <c r="B15">
        <v>455</v>
      </c>
      <c r="C15" t="s">
        <v>119</v>
      </c>
      <c r="D15">
        <v>230</v>
      </c>
      <c r="E15">
        <v>135</v>
      </c>
      <c r="F15" t="s">
        <v>119</v>
      </c>
    </row>
    <row r="16" spans="1:6">
      <c r="A16" t="s">
        <v>132</v>
      </c>
      <c r="B16">
        <v>496</v>
      </c>
      <c r="C16" t="s">
        <v>119</v>
      </c>
      <c r="D16">
        <v>271</v>
      </c>
      <c r="E16">
        <v>159</v>
      </c>
      <c r="F16" t="s">
        <v>119</v>
      </c>
    </row>
    <row r="17" spans="1:6">
      <c r="A17" t="s">
        <v>133</v>
      </c>
      <c r="B17">
        <v>537</v>
      </c>
      <c r="C17" t="s">
        <v>119</v>
      </c>
      <c r="D17">
        <v>312</v>
      </c>
      <c r="E17">
        <v>193</v>
      </c>
      <c r="F17" t="s">
        <v>119</v>
      </c>
    </row>
    <row r="18" spans="1:6">
      <c r="A18" t="s">
        <v>134</v>
      </c>
      <c r="B18">
        <v>619</v>
      </c>
      <c r="C18" t="s">
        <v>119</v>
      </c>
      <c r="D18">
        <v>394</v>
      </c>
      <c r="E18">
        <v>246</v>
      </c>
      <c r="F18" t="s">
        <v>119</v>
      </c>
    </row>
    <row r="19" spans="1:6">
      <c r="A19" t="s">
        <v>135</v>
      </c>
      <c r="B19">
        <v>758</v>
      </c>
      <c r="C19" t="s">
        <v>119</v>
      </c>
      <c r="D19">
        <v>533</v>
      </c>
      <c r="E19">
        <v>347</v>
      </c>
      <c r="F19" t="s">
        <v>119</v>
      </c>
    </row>
    <row r="20" spans="1:6">
      <c r="A20" s="7"/>
      <c r="B20" s="6"/>
      <c r="C20" s="6"/>
      <c r="D20" s="6"/>
      <c r="E20" s="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5A202-A533-4CDE-87B9-4CB1A89EDA06}">
  <dimension ref="A1:B7"/>
  <sheetViews>
    <sheetView workbookViewId="0">
      <selection activeCell="I15" sqref="I15"/>
    </sheetView>
  </sheetViews>
  <sheetFormatPr defaultRowHeight="16.2"/>
  <cols>
    <col min="1" max="1" width="16.44140625" bestFit="1" customWidth="1"/>
    <col min="2" max="2" width="40.109375" bestFit="1" customWidth="1"/>
  </cols>
  <sheetData>
    <row r="1" spans="1:2">
      <c r="A1" t="s">
        <v>0</v>
      </c>
      <c r="B1" t="s">
        <v>3</v>
      </c>
    </row>
    <row r="2" spans="1:2">
      <c r="A2" t="s">
        <v>1</v>
      </c>
      <c r="B2" t="s">
        <v>2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s="1">
        <v>3.15</v>
      </c>
    </row>
    <row r="6" spans="1:2">
      <c r="A6" t="s">
        <v>9</v>
      </c>
      <c r="B6" s="1">
        <v>10.7</v>
      </c>
    </row>
    <row r="7" spans="1:2">
      <c r="A7" t="s">
        <v>10</v>
      </c>
      <c r="B7" t="s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B9CE8-DE80-454B-AFBC-A0E5ED38DA6F}">
  <dimension ref="A1:E12"/>
  <sheetViews>
    <sheetView workbookViewId="0">
      <selection activeCell="J14" sqref="J14"/>
    </sheetView>
  </sheetViews>
  <sheetFormatPr defaultRowHeight="16.2"/>
  <cols>
    <col min="1" max="1" width="17.88671875" bestFit="1" customWidth="1"/>
    <col min="2" max="2" width="31.21875" bestFit="1" customWidth="1"/>
    <col min="3" max="3" width="6.88671875" bestFit="1" customWidth="1"/>
    <col min="4" max="5" width="16.21875" bestFit="1" customWidth="1"/>
  </cols>
  <sheetData>
    <row r="1" spans="1:5">
      <c r="A1" t="s">
        <v>0</v>
      </c>
      <c r="B1" t="s">
        <v>35</v>
      </c>
      <c r="C1" t="s">
        <v>36</v>
      </c>
      <c r="D1" t="s">
        <v>37</v>
      </c>
      <c r="E1" t="s">
        <v>38</v>
      </c>
    </row>
    <row r="2" spans="1:5">
      <c r="A2" t="s">
        <v>39</v>
      </c>
      <c r="B2" t="s">
        <v>40</v>
      </c>
      <c r="C2" t="s">
        <v>57</v>
      </c>
      <c r="D2">
        <v>90</v>
      </c>
      <c r="E2" t="s">
        <v>41</v>
      </c>
    </row>
    <row r="3" spans="1:5">
      <c r="A3" t="s">
        <v>42</v>
      </c>
      <c r="B3" t="s">
        <v>43</v>
      </c>
      <c r="C3">
        <v>3</v>
      </c>
      <c r="D3">
        <v>65</v>
      </c>
      <c r="E3" t="s">
        <v>44</v>
      </c>
    </row>
    <row r="4" spans="1:5">
      <c r="A4" t="s">
        <v>45</v>
      </c>
      <c r="B4" t="s">
        <v>43</v>
      </c>
      <c r="C4">
        <v>2</v>
      </c>
      <c r="D4">
        <v>65</v>
      </c>
      <c r="E4">
        <v>1.68</v>
      </c>
    </row>
    <row r="5" spans="1:5">
      <c r="A5" t="s">
        <v>46</v>
      </c>
      <c r="B5" t="s">
        <v>47</v>
      </c>
      <c r="C5">
        <v>2</v>
      </c>
      <c r="D5">
        <v>45</v>
      </c>
      <c r="E5">
        <v>2</v>
      </c>
    </row>
    <row r="6" spans="1:5">
      <c r="A6" t="s">
        <v>48</v>
      </c>
      <c r="B6" t="s">
        <v>49</v>
      </c>
      <c r="C6">
        <v>1</v>
      </c>
      <c r="D6">
        <v>30</v>
      </c>
      <c r="E6">
        <v>1.68</v>
      </c>
    </row>
    <row r="7" spans="1:5">
      <c r="A7" t="s">
        <v>50</v>
      </c>
      <c r="B7" t="s">
        <v>51</v>
      </c>
      <c r="C7" t="s">
        <v>52</v>
      </c>
      <c r="D7" t="s">
        <v>52</v>
      </c>
      <c r="E7" t="s">
        <v>52</v>
      </c>
    </row>
    <row r="8" spans="1:5">
      <c r="A8" t="s">
        <v>53</v>
      </c>
      <c r="B8" t="s">
        <v>54</v>
      </c>
      <c r="C8" t="s">
        <v>52</v>
      </c>
      <c r="D8" t="s">
        <v>52</v>
      </c>
      <c r="E8" t="s">
        <v>52</v>
      </c>
    </row>
    <row r="9" spans="1:5">
      <c r="A9" t="s">
        <v>56</v>
      </c>
      <c r="B9" t="s">
        <v>55</v>
      </c>
      <c r="C9">
        <v>3</v>
      </c>
      <c r="D9">
        <v>50</v>
      </c>
      <c r="E9">
        <v>1.68</v>
      </c>
    </row>
    <row r="11" spans="1:5">
      <c r="A11" s="2" t="s">
        <v>58</v>
      </c>
      <c r="B11" t="s">
        <v>59</v>
      </c>
    </row>
    <row r="12" spans="1:5">
      <c r="A12" t="s">
        <v>60</v>
      </c>
      <c r="B12" t="s">
        <v>61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12F0F-EAE4-4FF2-891F-47E631DEF623}">
  <dimension ref="A1:L13"/>
  <sheetViews>
    <sheetView topLeftCell="G1" workbookViewId="0">
      <selection activeCell="K21" sqref="K21"/>
    </sheetView>
  </sheetViews>
  <sheetFormatPr defaultRowHeight="16.2"/>
  <cols>
    <col min="2" max="2" width="25.44140625" bestFit="1" customWidth="1"/>
    <col min="7" max="7" width="11.88671875" bestFit="1" customWidth="1"/>
    <col min="8" max="8" width="11.21875" bestFit="1" customWidth="1"/>
    <col min="9" max="9" width="10.44140625" bestFit="1" customWidth="1"/>
    <col min="10" max="10" width="11.88671875" bestFit="1" customWidth="1"/>
    <col min="11" max="11" width="19" bestFit="1" customWidth="1"/>
    <col min="12" max="13" width="14.77734375" bestFit="1" customWidth="1"/>
    <col min="14" max="14" width="14.44140625" bestFit="1" customWidth="1"/>
    <col min="15" max="15" width="9.88671875" bestFit="1" customWidth="1"/>
  </cols>
  <sheetData>
    <row r="1" spans="1:12">
      <c r="A1" t="s">
        <v>0</v>
      </c>
      <c r="B1" t="s">
        <v>33</v>
      </c>
      <c r="G1" t="s">
        <v>34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</row>
    <row r="2" spans="1:12">
      <c r="A2" t="s">
        <v>14</v>
      </c>
      <c r="G2" t="s">
        <v>67</v>
      </c>
      <c r="H2" t="s">
        <v>68</v>
      </c>
      <c r="I2" s="3" t="s">
        <v>69</v>
      </c>
      <c r="J2">
        <v>500</v>
      </c>
      <c r="K2">
        <v>68</v>
      </c>
      <c r="L2">
        <v>149</v>
      </c>
    </row>
    <row r="3" spans="1:12">
      <c r="A3" t="s">
        <v>15</v>
      </c>
      <c r="G3" t="s">
        <v>70</v>
      </c>
      <c r="H3" t="s">
        <v>68</v>
      </c>
      <c r="I3" s="3" t="s">
        <v>71</v>
      </c>
      <c r="J3">
        <v>300</v>
      </c>
      <c r="K3">
        <v>23</v>
      </c>
      <c r="L3">
        <v>70</v>
      </c>
    </row>
    <row r="4" spans="1:12">
      <c r="A4" t="s">
        <v>16</v>
      </c>
      <c r="G4" t="s">
        <v>72</v>
      </c>
      <c r="H4" t="s">
        <v>73</v>
      </c>
      <c r="I4" s="3" t="s">
        <v>69</v>
      </c>
      <c r="J4">
        <v>700</v>
      </c>
      <c r="K4">
        <v>65.5</v>
      </c>
      <c r="L4">
        <v>143</v>
      </c>
    </row>
    <row r="5" spans="1:12">
      <c r="A5" t="s">
        <v>17</v>
      </c>
      <c r="G5" t="s">
        <v>74</v>
      </c>
      <c r="H5" t="s">
        <v>73</v>
      </c>
      <c r="I5" s="3" t="s">
        <v>71</v>
      </c>
      <c r="J5">
        <v>500</v>
      </c>
      <c r="K5">
        <v>23</v>
      </c>
      <c r="L5">
        <v>73</v>
      </c>
    </row>
    <row r="6" spans="1:12">
      <c r="A6" t="s">
        <v>13</v>
      </c>
      <c r="G6" t="s">
        <v>75</v>
      </c>
      <c r="H6" t="s">
        <v>76</v>
      </c>
      <c r="I6" s="3" t="s">
        <v>69</v>
      </c>
      <c r="J6">
        <v>1100</v>
      </c>
      <c r="K6">
        <v>61.5</v>
      </c>
      <c r="L6">
        <v>215</v>
      </c>
    </row>
    <row r="7" spans="1:12">
      <c r="G7" t="s">
        <v>77</v>
      </c>
      <c r="H7" t="s">
        <v>76</v>
      </c>
      <c r="I7" s="3" t="s">
        <v>71</v>
      </c>
      <c r="J7">
        <v>1100</v>
      </c>
      <c r="K7">
        <v>24</v>
      </c>
      <c r="L7">
        <v>114</v>
      </c>
    </row>
    <row r="8" spans="1:12">
      <c r="I8" s="3"/>
    </row>
    <row r="9" spans="1:12">
      <c r="G9" t="s">
        <v>78</v>
      </c>
      <c r="H9" t="s">
        <v>79</v>
      </c>
      <c r="I9" s="3" t="s">
        <v>71</v>
      </c>
      <c r="J9">
        <v>370</v>
      </c>
      <c r="K9">
        <v>23</v>
      </c>
      <c r="L9">
        <v>40</v>
      </c>
    </row>
    <row r="10" spans="1:12">
      <c r="G10" t="s">
        <v>80</v>
      </c>
      <c r="H10" t="s">
        <v>73</v>
      </c>
      <c r="I10" s="3" t="s">
        <v>71</v>
      </c>
      <c r="J10">
        <v>550</v>
      </c>
      <c r="K10">
        <v>33.799999999999997</v>
      </c>
      <c r="L10">
        <v>45</v>
      </c>
    </row>
    <row r="11" spans="1:12">
      <c r="G11" t="s">
        <v>81</v>
      </c>
      <c r="H11" t="s">
        <v>73</v>
      </c>
      <c r="I11" s="3" t="s">
        <v>69</v>
      </c>
      <c r="J11">
        <v>1100</v>
      </c>
      <c r="K11">
        <v>110.8</v>
      </c>
      <c r="L11">
        <v>280</v>
      </c>
    </row>
    <row r="12" spans="1:12">
      <c r="G12" t="s">
        <v>82</v>
      </c>
      <c r="H12" t="s">
        <v>76</v>
      </c>
      <c r="I12" s="3" t="s">
        <v>71</v>
      </c>
      <c r="J12">
        <v>1300</v>
      </c>
      <c r="K12">
        <v>48</v>
      </c>
      <c r="L12">
        <v>145</v>
      </c>
    </row>
    <row r="13" spans="1:12">
      <c r="G13" s="4" t="s">
        <v>83</v>
      </c>
      <c r="H13" s="4" t="s">
        <v>76</v>
      </c>
      <c r="I13" s="5" t="s">
        <v>69</v>
      </c>
      <c r="J13" s="4">
        <v>1800</v>
      </c>
      <c r="K13" s="4">
        <v>133</v>
      </c>
      <c r="L13" s="4">
        <v>540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C14F3-55EC-4FC4-9319-E2BCBC513082}">
  <dimension ref="A1:B15"/>
  <sheetViews>
    <sheetView workbookViewId="0">
      <selection activeCell="E8" sqref="E8"/>
    </sheetView>
  </sheetViews>
  <sheetFormatPr defaultRowHeight="16.2"/>
  <cols>
    <col min="1" max="1" width="27.109375" bestFit="1" customWidth="1"/>
    <col min="2" max="2" width="87.6640625" bestFit="1" customWidth="1"/>
  </cols>
  <sheetData>
    <row r="1" spans="1:2">
      <c r="A1" t="s">
        <v>112</v>
      </c>
    </row>
    <row r="2" spans="1:2">
      <c r="A2" t="s">
        <v>84</v>
      </c>
      <c r="B2" t="s">
        <v>85</v>
      </c>
    </row>
    <row r="3" spans="1:2">
      <c r="A3" t="s">
        <v>86</v>
      </c>
      <c r="B3" t="s">
        <v>87</v>
      </c>
    </row>
    <row r="4" spans="1:2">
      <c r="A4" t="s">
        <v>88</v>
      </c>
      <c r="B4" t="s">
        <v>89</v>
      </c>
    </row>
    <row r="5" spans="1:2">
      <c r="A5" t="s">
        <v>90</v>
      </c>
      <c r="B5" t="s">
        <v>91</v>
      </c>
    </row>
    <row r="6" spans="1:2">
      <c r="A6" t="s">
        <v>92</v>
      </c>
      <c r="B6" t="s">
        <v>93</v>
      </c>
    </row>
    <row r="7" spans="1:2">
      <c r="A7" t="s">
        <v>94</v>
      </c>
      <c r="B7" t="s">
        <v>95</v>
      </c>
    </row>
    <row r="8" spans="1:2">
      <c r="A8" t="s">
        <v>96</v>
      </c>
      <c r="B8" t="s">
        <v>97</v>
      </c>
    </row>
    <row r="9" spans="1:2">
      <c r="A9" t="s">
        <v>98</v>
      </c>
      <c r="B9" t="s">
        <v>99</v>
      </c>
    </row>
    <row r="10" spans="1:2">
      <c r="A10" t="s">
        <v>100</v>
      </c>
      <c r="B10" t="s">
        <v>101</v>
      </c>
    </row>
    <row r="11" spans="1:2">
      <c r="A11" t="s">
        <v>102</v>
      </c>
      <c r="B11" t="s">
        <v>103</v>
      </c>
    </row>
    <row r="12" spans="1:2">
      <c r="A12" t="s">
        <v>104</v>
      </c>
      <c r="B12" t="s">
        <v>105</v>
      </c>
    </row>
    <row r="13" spans="1:2">
      <c r="A13" t="s">
        <v>106</v>
      </c>
      <c r="B13" t="s">
        <v>107</v>
      </c>
    </row>
    <row r="14" spans="1:2">
      <c r="A14" t="s">
        <v>108</v>
      </c>
      <c r="B14" t="s">
        <v>109</v>
      </c>
    </row>
    <row r="15" spans="1:2">
      <c r="A15" t="s">
        <v>110</v>
      </c>
      <c r="B15" t="s">
        <v>111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69C75-1C0F-4682-8652-6EAE5F167C04}">
  <dimension ref="A1:D8"/>
  <sheetViews>
    <sheetView workbookViewId="0">
      <selection activeCell="D11" sqref="D11"/>
    </sheetView>
  </sheetViews>
  <sheetFormatPr defaultRowHeight="16.2"/>
  <cols>
    <col min="1" max="1" width="30.88671875" bestFit="1" customWidth="1"/>
    <col min="3" max="3" width="10.44140625" bestFit="1" customWidth="1"/>
    <col min="4" max="4" width="24.21875" bestFit="1" customWidth="1"/>
  </cols>
  <sheetData>
    <row r="1" spans="1:4">
      <c r="A1" t="s">
        <v>18</v>
      </c>
      <c r="C1" t="s">
        <v>25</v>
      </c>
    </row>
    <row r="2" spans="1:4">
      <c r="A2" t="s">
        <v>19</v>
      </c>
      <c r="C2" t="s">
        <v>27</v>
      </c>
      <c r="D2" t="s">
        <v>26</v>
      </c>
    </row>
    <row r="3" spans="1:4">
      <c r="A3" t="s">
        <v>20</v>
      </c>
    </row>
    <row r="4" spans="1:4">
      <c r="A4" t="s">
        <v>21</v>
      </c>
    </row>
    <row r="5" spans="1:4">
      <c r="A5" t="s">
        <v>22</v>
      </c>
    </row>
    <row r="6" spans="1:4">
      <c r="A6" t="s">
        <v>23</v>
      </c>
      <c r="D6" t="s">
        <v>31</v>
      </c>
    </row>
    <row r="7" spans="1:4">
      <c r="A7" s="4" t="s">
        <v>142</v>
      </c>
      <c r="B7" t="s">
        <v>143</v>
      </c>
    </row>
    <row r="8" spans="1:4">
      <c r="A8" t="s">
        <v>28</v>
      </c>
      <c r="B8" t="s">
        <v>29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C155B-31F4-4D6A-8A1B-8BE0B4A6A16E}">
  <dimension ref="A1:E7"/>
  <sheetViews>
    <sheetView workbookViewId="0">
      <selection activeCell="B7" sqref="B7"/>
    </sheetView>
  </sheetViews>
  <sheetFormatPr defaultRowHeight="16.2"/>
  <cols>
    <col min="1" max="1" width="24.21875" bestFit="1" customWidth="1"/>
    <col min="4" max="4" width="10.44140625" bestFit="1" customWidth="1"/>
    <col min="5" max="5" width="24.21875" bestFit="1" customWidth="1"/>
  </cols>
  <sheetData>
    <row r="1" spans="1:5">
      <c r="A1" t="s">
        <v>18</v>
      </c>
    </row>
    <row r="2" spans="1:5">
      <c r="A2" t="s">
        <v>19</v>
      </c>
      <c r="D2" t="s">
        <v>27</v>
      </c>
      <c r="E2" t="s">
        <v>26</v>
      </c>
    </row>
    <row r="3" spans="1:5">
      <c r="A3" t="s">
        <v>20</v>
      </c>
    </row>
    <row r="4" spans="1:5">
      <c r="A4" t="s">
        <v>30</v>
      </c>
    </row>
    <row r="5" spans="1:5">
      <c r="A5" t="s">
        <v>22</v>
      </c>
    </row>
    <row r="6" spans="1:5">
      <c r="A6" t="s">
        <v>24</v>
      </c>
      <c r="D6" t="s">
        <v>32</v>
      </c>
    </row>
    <row r="7" spans="1:5">
      <c r="A7" s="4" t="s">
        <v>142</v>
      </c>
      <c r="B7" t="s">
        <v>143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純溫度計算</vt:lpstr>
      <vt:lpstr>溫濕度計算</vt:lpstr>
      <vt:lpstr>熱交換機</vt:lpstr>
      <vt:lpstr>壓縮機</vt:lpstr>
      <vt:lpstr>加熱器</vt:lpstr>
      <vt:lpstr>風機</vt:lpstr>
      <vt:lpstr>膨脹閥</vt:lpstr>
      <vt:lpstr>蒸發器</vt:lpstr>
      <vt:lpstr>冷凝器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 BB</dc:creator>
  <cp:lastModifiedBy>xuan BB</cp:lastModifiedBy>
  <cp:lastPrinted>2026-07-20T18:46:36Z</cp:lastPrinted>
  <dcterms:created xsi:type="dcterms:W3CDTF">2026-07-15T18:10:43Z</dcterms:created>
  <dcterms:modified xsi:type="dcterms:W3CDTF">2026-07-22T15:17:07Z</dcterms:modified>
</cp:coreProperties>
</file>